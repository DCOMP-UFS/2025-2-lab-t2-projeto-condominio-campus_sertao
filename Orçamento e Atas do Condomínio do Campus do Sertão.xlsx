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<sst xmlns="http://schemas.openxmlformats.org/spreadsheetml/2006/main" count="34" uniqueCount="29">
  <si>
    <t>TIPO</t>
  </si>
  <si>
    <t>VALOR UNITÁRIO</t>
  </si>
  <si>
    <t>QUANTIDADE</t>
  </si>
  <si>
    <t>CUSTO</t>
  </si>
  <si>
    <t>ATA</t>
  </si>
  <si>
    <t>SWITCH 24 PORTAS 10/100/1000 + 2 SFP GIGABIT COMPATIVEL COM CISCO SG220-26</t>
  </si>
  <si>
    <t>https://pncp.gov.br/app/atas/44547305000193/2025/174/1</t>
  </si>
  <si>
    <t>TECLADO PADRAO ABNT2 CONECTOR USB</t>
  </si>
  <si>
    <t>MOUSE OPTICO 2 BOTÕES E SCROLL</t>
  </si>
  <si>
    <t>Servidor 32GB RAM DDR4 2 SSD SAS 480GB</t>
  </si>
  <si>
    <t>https://pncp.gov.br/app/atas/11822633000100/2025/45/11</t>
  </si>
  <si>
    <t>MINI RACK 6U X 350MM PORTA C/ VISOR ACRÍLICO PRETO</t>
  </si>
  <si>
    <t>Sistema Global De Posicionamento - Global</t>
  </si>
  <si>
    <t>https://pncp.gov.br/app/editais/00394452000103/2025/24024</t>
  </si>
  <si>
    <t>Pontos de HotSpot de Wi- Fi Público, com capacidade mínima de 200 Mbps por ponto, para atendimento em praças e espaços públicos.</t>
  </si>
  <si>
    <t>https://pncp.gov.br/app/atas/07598634000137/2025/139/1</t>
  </si>
  <si>
    <t>FMS - NOBREAK 600VA</t>
  </si>
  <si>
    <t>https://pncp.gov.br/app/atas/11822633000100/2025/45/5</t>
  </si>
  <si>
    <t>FMS - BATERIA COMPATIVEL PARA NOBREAK 600VA</t>
  </si>
  <si>
    <t>Cabo cat 06 - 10 m</t>
  </si>
  <si>
    <t>https://pncp.gov.br/app/atas/82777301000190/2025/249/12</t>
  </si>
  <si>
    <t>Monitor computador</t>
  </si>
  <si>
    <t>https://pncp.gov.br/app/atas/75095679000149/2025/357/4</t>
  </si>
  <si>
    <t xml:space="preserve"> COMPUTADOR DESKTOP BASICO ESPECIFICACAO MINIMA: QUE ESTEJA EM LINHA DE PRODUCAOPELO FABRICANTE. COMPUTADOR DESKTOP COM PROCESSADOR NO MINIMO QUE POSSUA NO MINIMO 4 NUCLEOS, 8 THEREADS EFREQUENCIA DE 3.0 GHZ, UNIDADE DE ARMAZENAMENTO SSD 240 GB INTERFACE PCIE NVMEM.2, MEMORIA RAM DE 8 GB, EM 2 MODULOS IDENTICOS DE 4 GBCADA, DO TIPO SDRAM DDR4 2666MHZ MHZ OU SUPERIOR, OPERANDO EM MODALIDADE DUAL CHANNEL. A PLACA PRINCIPAL DEVE TER ARQUITETURA ATX, MICROATX, BTX OU MICROBTX, CONFORME PADROES ESTABELECIDOS E DIVULGADOS NO SITIO WWW.FORMFACTORS.ORG, ORGANISMO QUE DEFINE OS PADROESEXISTENTES. POSSUIR PELO MENOS 1 SLOT PCI-EXPRESS 2.0 X16 OU SUPERIOR. POSSUIRSISTEMA DE DETECCAO DE INTRUSAO DE CHASSIS, COM ACIONADORINSTALADO NO GABINETE.O ADAPTADOR DE VIDEO INTEGRADO DEVERA SER NO MINIMO DE 1 GB DE MEMORIA. POSSUIRSUPORTE AO MICROSOFT DIRECTX 10.1 OU SUPERIOR. SUPORTAR MONITOR ESTENDIDO. POSSUIR NO MINIMO 2 SAIDAS DE VIDEO, SENDO PELO MENOS 1 DIGITALDO TIPO HDMI, DISPLAY PORT OU DVI. UNIDADE COMBINADA DE GRAVACAO DE DISCO OTICOCD, DVD ROM. TECLADOUSB, ABNT2, 107 TECLAS COM FIO E MOUSE USB, 800 DPI, 2 BOTOES, SCROLL COM FIO.MONITOR DE LED 19,5 POLEGADAS (WIDESCREEN 16:9) (1920 X 1080 A60HZ), ENTRADAS DE VIDEO HDMI E DISPLAY PORT, ANGULOS DE VISAO VERTICAL E HORIZONTAL MINIMO DE 178 . INTERFACES DE REDE 10/100/1000 E WIFI PADRAO IEEE 802.11B/G/N/AC. SISTEMAOPERACIONAL WINDOWS 10 PRO (64 BITS). FONTE COMPATIVEL E QUE SUPORTE TODA A CONFIGURACAO EXIGIDA NO ITEM. GABINETE E PERIFERICOS...</t>
  </si>
  <si>
    <t>https://pncp.gov.br/app/atas/09281224000193/2025/13/2</t>
  </si>
  <si>
    <t>Sensor Eletrônico Tipo Sensor: Umidade E Temperatura, Referência: Dht11, Características Adicionais: Com Termistor Ntc E Hr202, Temperatura Trabalho: 0 A 50°C, Tensão Alimentação: 5V, Faixa Umidade: 20 A 90PER</t>
  </si>
  <si>
    <t>https://pncp.gov.br/app/editais/15461510000133/2025/24</t>
  </si>
  <si>
    <t>Sensor Térmico Referência: Ds18b20, Aplicação: Eletrônica, Características Adicionais: Com Encapsulamento To-92, Faixa Temperatura: -55ºc A 125°C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</si>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</sst>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3.0"/>
      <color rgb="FF333333"/>
      <name val="Arial"/>
    </font>
    <font>
      <u/>
      <color rgb="FF0000FF"/>
      <name val="Roboto"/>
    </font>
    <font>
      <sz val="10.0"/>
      <color rgb="FF333333"/>
      <name val="Arial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4" numFmtId="4" xfId="0" applyAlignment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3" fontId="6" numFmtId="0" xfId="0" applyAlignment="1" applyFill="1" applyFont="1">
      <alignment horizontal="left"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" displayName="Tabela_1" name="Tabela_1" id="1">
  <tableColumns count="5">
    <tableColumn name="TIPO" id="1"/>
    <tableColumn name="VALOR UNITÁRIO" id="2"/>
    <tableColumn name="QUANTIDADE" id="3"/>
    <tableColumn name="CUSTO" id="4"/>
    <tableColumn name="ATA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ncp.gov.br/app/atas/75095679000149/2025/357/4" TargetMode="External"/><Relationship Id="rId10" Type="http://schemas.openxmlformats.org/officeDocument/2006/relationships/hyperlink" Target="https://pncp.gov.br/app/atas/82777301000190/2025/249/12" TargetMode="External"/><Relationship Id="rId13" Type="http://schemas.openxmlformats.org/officeDocument/2006/relationships/hyperlink" Target="https://pncp.gov.br/app/editais/15461510000133/2025/24" TargetMode="External"/><Relationship Id="rId12" Type="http://schemas.openxmlformats.org/officeDocument/2006/relationships/hyperlink" Target="https://pncp.gov.br/app/atas/09281224000193/2025/13/2" TargetMode="External"/><Relationship Id="rId1" Type="http://schemas.openxmlformats.org/officeDocument/2006/relationships/hyperlink" Target="https://pncp.gov.br/app/atas/44547305000193/2025/174/1" TargetMode="External"/><Relationship Id="rId2" Type="http://schemas.openxmlformats.org/officeDocument/2006/relationships/hyperlink" Target="https://pncp.gov.br/app/atas/44547305000193/2025/174/1" TargetMode="External"/><Relationship Id="rId3" Type="http://schemas.openxmlformats.org/officeDocument/2006/relationships/hyperlink" Target="https://pncp.gov.br/app/atas/44547305000193/2025/174/1" TargetMode="External"/><Relationship Id="rId4" Type="http://schemas.openxmlformats.org/officeDocument/2006/relationships/hyperlink" Target="https://pncp.gov.br/app/atas/11822633000100/2025/45/11" TargetMode="External"/><Relationship Id="rId9" Type="http://schemas.openxmlformats.org/officeDocument/2006/relationships/hyperlink" Target="https://pncp.gov.br/app/atas/11822633000100/2025/45/5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pncp.gov.br/app/editais/15461510000133/2025/24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pncp.gov.br/app/atas/11822633000100/2025/45/11" TargetMode="External"/><Relationship Id="rId6" Type="http://schemas.openxmlformats.org/officeDocument/2006/relationships/hyperlink" Target="https://pncp.gov.br/app/editais/00394452000103/2025/24024" TargetMode="External"/><Relationship Id="rId7" Type="http://schemas.openxmlformats.org/officeDocument/2006/relationships/hyperlink" Target="https://pncp.gov.br/app/atas/07598634000137/2025/139/1" TargetMode="External"/><Relationship Id="rId8" Type="http://schemas.openxmlformats.org/officeDocument/2006/relationships/hyperlink" Target="https://pncp.gov.br/app/atas/11822633000100/2025/45/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>
        <v>1902.0</v>
      </c>
      <c r="C2" s="5">
        <v>5.0</v>
      </c>
      <c r="D2" s="6">
        <f t="shared" ref="D2:D15" si="1">B2*C2</f>
        <v>9510</v>
      </c>
      <c r="E2" s="7" t="s">
        <v>6</v>
      </c>
    </row>
    <row r="3" ht="22.5" customHeight="1">
      <c r="A3" s="3" t="s">
        <v>7</v>
      </c>
      <c r="B3" s="5">
        <v>32.0</v>
      </c>
      <c r="C3" s="5">
        <v>38.0</v>
      </c>
      <c r="D3" s="6">
        <f t="shared" si="1"/>
        <v>1216</v>
      </c>
      <c r="E3" s="7" t="s">
        <v>6</v>
      </c>
    </row>
    <row r="4" ht="22.5" customHeight="1">
      <c r="A4" s="3" t="s">
        <v>8</v>
      </c>
      <c r="B4" s="5">
        <v>9.6</v>
      </c>
      <c r="C4" s="5">
        <v>38.0</v>
      </c>
      <c r="D4" s="6">
        <f t="shared" si="1"/>
        <v>364.8</v>
      </c>
      <c r="E4" s="7" t="s">
        <v>6</v>
      </c>
    </row>
    <row r="5" ht="22.5" customHeight="1">
      <c r="A5" s="8" t="s">
        <v>9</v>
      </c>
      <c r="B5" s="6">
        <v>18940.0</v>
      </c>
      <c r="C5" s="5">
        <v>1.0</v>
      </c>
      <c r="D5" s="6">
        <f t="shared" si="1"/>
        <v>18940</v>
      </c>
      <c r="E5" s="7" t="s">
        <v>10</v>
      </c>
    </row>
    <row r="6" ht="22.5" customHeight="1">
      <c r="A6" s="8" t="s">
        <v>11</v>
      </c>
      <c r="B6" s="5">
        <v>287.82</v>
      </c>
      <c r="C6" s="5">
        <v>5.0</v>
      </c>
      <c r="D6" s="6">
        <f t="shared" si="1"/>
        <v>1439.1</v>
      </c>
      <c r="E6" s="7" t="s">
        <v>10</v>
      </c>
    </row>
    <row r="7" ht="22.5" customHeight="1">
      <c r="A7" s="8" t="s">
        <v>12</v>
      </c>
      <c r="B7" s="6">
        <v>1537.69</v>
      </c>
      <c r="C7" s="5">
        <v>1.0</v>
      </c>
      <c r="D7" s="6">
        <f t="shared" si="1"/>
        <v>1537.69</v>
      </c>
      <c r="E7" s="7" t="s">
        <v>13</v>
      </c>
    </row>
    <row r="8" ht="22.5" customHeight="1">
      <c r="A8" s="3" t="s">
        <v>14</v>
      </c>
      <c r="B8" s="6">
        <v>84000.0</v>
      </c>
      <c r="C8" s="5">
        <v>1.0</v>
      </c>
      <c r="D8" s="6">
        <f t="shared" si="1"/>
        <v>84000</v>
      </c>
      <c r="E8" s="7" t="s">
        <v>15</v>
      </c>
    </row>
    <row r="9" ht="22.5" customHeight="1">
      <c r="A9" s="8" t="s">
        <v>16</v>
      </c>
      <c r="B9" s="9">
        <v>350.0</v>
      </c>
      <c r="C9" s="5">
        <v>5.0</v>
      </c>
      <c r="D9" s="6">
        <f t="shared" si="1"/>
        <v>1750</v>
      </c>
      <c r="E9" s="7" t="s">
        <v>17</v>
      </c>
    </row>
    <row r="10" ht="22.5" customHeight="1">
      <c r="A10" s="8" t="s">
        <v>18</v>
      </c>
      <c r="B10" s="5">
        <v>92.0</v>
      </c>
      <c r="C10" s="5">
        <v>5.0</v>
      </c>
      <c r="D10" s="6">
        <f t="shared" si="1"/>
        <v>460</v>
      </c>
      <c r="E10" s="7" t="s">
        <v>17</v>
      </c>
    </row>
    <row r="11" ht="22.5" customHeight="1">
      <c r="A11" s="3" t="s">
        <v>19</v>
      </c>
      <c r="B11" s="5">
        <v>42.13</v>
      </c>
      <c r="C11" s="5">
        <v>7.0</v>
      </c>
      <c r="D11" s="6">
        <f t="shared" si="1"/>
        <v>294.91</v>
      </c>
      <c r="E11" s="7" t="s">
        <v>20</v>
      </c>
    </row>
    <row r="12" ht="22.5" customHeight="1">
      <c r="A12" s="3" t="s">
        <v>21</v>
      </c>
      <c r="B12" s="5">
        <v>720.0</v>
      </c>
      <c r="C12" s="5">
        <v>38.0</v>
      </c>
      <c r="D12" s="6">
        <f t="shared" si="1"/>
        <v>27360</v>
      </c>
      <c r="E12" s="7" t="s">
        <v>22</v>
      </c>
    </row>
    <row r="13" ht="22.5" customHeight="1">
      <c r="A13" s="3" t="s">
        <v>23</v>
      </c>
      <c r="B13" s="6">
        <v>2532.0</v>
      </c>
      <c r="C13" s="5">
        <v>38.0</v>
      </c>
      <c r="D13" s="6">
        <f t="shared" si="1"/>
        <v>96216</v>
      </c>
      <c r="E13" s="7" t="s">
        <v>24</v>
      </c>
    </row>
    <row r="14" ht="22.5" customHeight="1">
      <c r="A14" s="3" t="s">
        <v>25</v>
      </c>
      <c r="B14" s="5">
        <v>13.58</v>
      </c>
      <c r="C14" s="5">
        <v>10.0</v>
      </c>
      <c r="D14" s="6">
        <f t="shared" si="1"/>
        <v>135.8</v>
      </c>
      <c r="E14" s="10" t="s">
        <v>26</v>
      </c>
    </row>
    <row r="15" ht="22.5" customHeight="1">
      <c r="A15" s="3" t="s">
        <v>27</v>
      </c>
      <c r="B15" s="5">
        <v>12.9333</v>
      </c>
      <c r="C15" s="5">
        <v>10.0</v>
      </c>
      <c r="D15" s="6">
        <f t="shared" si="1"/>
        <v>129.333</v>
      </c>
      <c r="E15" s="10" t="s">
        <v>26</v>
      </c>
    </row>
    <row r="16" ht="22.5" customHeight="1">
      <c r="A16" s="11"/>
      <c r="B16" s="12"/>
      <c r="C16" s="12"/>
      <c r="D16" s="5"/>
    </row>
    <row r="17" ht="22.5" customHeight="1">
      <c r="A17" s="11"/>
      <c r="B17" s="12"/>
      <c r="C17" s="13" t="s">
        <v>28</v>
      </c>
      <c r="D17" s="6">
        <f>SUM(D2:D15)</f>
        <v>243353.633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  <tableParts count="1">
    <tablePart r:id="rId17"/>
  </tableParts>
</worksheet>
</file>